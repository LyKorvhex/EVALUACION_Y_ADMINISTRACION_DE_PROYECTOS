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inversión fija" sheetId="1" r:id="rId4"/>
    <sheet state="visible" name="Tabla de inversion diferida" sheetId="2" r:id="rId5"/>
  </sheets>
  <definedNames/>
  <calcPr/>
  <extLst>
    <ext uri="GoogleSheetsCustomDataVersion2">
      <go:sheetsCustomData xmlns:go="http://customooxmlschemas.google.com/" r:id="rId6" roundtripDataChecksum="GUnMzpDXgwuFKYe0GiOsg3/aDn4WYA9LAEiSi4WaYlY="/>
    </ext>
  </extLst>
</workbook>
</file>

<file path=xl/sharedStrings.xml><?xml version="1.0" encoding="utf-8"?>
<sst xmlns="http://schemas.openxmlformats.org/spreadsheetml/2006/main" count="33" uniqueCount="32">
  <si>
    <t>Requerimiento de maquinaria y equipo para local de Imprenta y Diseño Gráfico</t>
  </si>
  <si>
    <t>Maquinaria y Equipo</t>
  </si>
  <si>
    <t>Cantidad</t>
  </si>
  <si>
    <t>Precio Unitario</t>
  </si>
  <si>
    <t>Total</t>
  </si>
  <si>
    <t>Construcción del local</t>
  </si>
  <si>
    <t>Impresora digital de producción Ricoh lm 430f Mono</t>
  </si>
  <si>
    <t>Plotter de gran formato (Eco-solvente o Látex)</t>
  </si>
  <si>
    <t>Plotter de corte</t>
  </si>
  <si>
    <t>Guillotina industrial</t>
  </si>
  <si>
    <t>Engargoladora de espiral</t>
  </si>
  <si>
    <t>Engargoladora térmica</t>
  </si>
  <si>
    <t>Dobladora</t>
  </si>
  <si>
    <t>Prensa térmica para tazas</t>
  </si>
  <si>
    <t>Impresora 3D FDM</t>
  </si>
  <si>
    <t>PC de alto rendimiento</t>
  </si>
  <si>
    <t>Tableta digitalizadora</t>
  </si>
  <si>
    <t>Mostrador de cristal o madera</t>
  </si>
  <si>
    <t>Inversión diferida</t>
  </si>
  <si>
    <t>Concepto</t>
  </si>
  <si>
    <t>Servicio</t>
  </si>
  <si>
    <t>Renta del local</t>
  </si>
  <si>
    <t>Contrato de internet</t>
  </si>
  <si>
    <t>Contrado de energía eléctrica</t>
  </si>
  <si>
    <t>Contrato de agua</t>
  </si>
  <si>
    <t>Gastos de instalación y servicios</t>
  </si>
  <si>
    <t>Permisos y licencia de funcionamiento</t>
  </si>
  <si>
    <t>Constitución legal de la empresa</t>
  </si>
  <si>
    <t>Mercadotecnia y publicidad</t>
  </si>
  <si>
    <t>Seguro de equipo y maquinaria</t>
  </si>
  <si>
    <t>Imprevistos*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</si>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</sst>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2" numFmtId="164" xfId="0" applyFont="1" applyNumberFormat="1"/>
    <xf borderId="0" fillId="0" fontId="5" numFmtId="0" xfId="0" applyFont="1"/>
    <xf borderId="0" fillId="0" fontId="2" numFmtId="0" xfId="0" applyAlignment="1" applyFont="1">
      <alignment horizontal="center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0.88"/>
    <col customWidth="1" min="3" max="3" width="15.5"/>
    <col customWidth="1" min="4" max="4" width="11.13"/>
    <col customWidth="1" min="5" max="26" width="10.6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</row>
    <row r="3" ht="14.25" customHeight="1">
      <c r="A3" s="3" t="s">
        <v>5</v>
      </c>
      <c r="B3" s="4">
        <v>1.0</v>
      </c>
      <c r="C3" s="5">
        <v>215500.0</v>
      </c>
      <c r="D3" s="6">
        <f>B3*C3</f>
        <v>215500</v>
      </c>
    </row>
    <row r="4" ht="14.25" customHeight="1">
      <c r="A4" s="7" t="s">
        <v>6</v>
      </c>
      <c r="B4" s="8">
        <v>1.0</v>
      </c>
      <c r="C4" s="6">
        <v>16650.0</v>
      </c>
      <c r="D4" s="6">
        <f t="shared" ref="D4:D15" si="1">(B4 * C4)</f>
        <v>16650</v>
      </c>
    </row>
    <row r="5" ht="14.25" customHeight="1">
      <c r="A5" s="7" t="s">
        <v>7</v>
      </c>
      <c r="B5" s="8">
        <v>1.0</v>
      </c>
      <c r="C5" s="5">
        <v>50650.0</v>
      </c>
      <c r="D5" s="6">
        <f t="shared" si="1"/>
        <v>50650</v>
      </c>
    </row>
    <row r="6" ht="14.25" customHeight="1">
      <c r="A6" s="7" t="s">
        <v>8</v>
      </c>
      <c r="B6" s="8">
        <v>1.0</v>
      </c>
      <c r="C6" s="5">
        <v>25800.0</v>
      </c>
      <c r="D6" s="6">
        <f t="shared" si="1"/>
        <v>25800</v>
      </c>
    </row>
    <row r="7" ht="14.25" customHeight="1">
      <c r="A7" s="7" t="s">
        <v>9</v>
      </c>
      <c r="B7" s="8">
        <v>1.0</v>
      </c>
      <c r="C7" s="6">
        <v>2700.0</v>
      </c>
      <c r="D7" s="6">
        <f t="shared" si="1"/>
        <v>2700</v>
      </c>
    </row>
    <row r="8" ht="14.25" customHeight="1">
      <c r="A8" s="7" t="s">
        <v>10</v>
      </c>
      <c r="B8" s="8">
        <v>1.0</v>
      </c>
      <c r="C8" s="6">
        <v>2000.0</v>
      </c>
      <c r="D8" s="6">
        <f t="shared" si="1"/>
        <v>2000</v>
      </c>
    </row>
    <row r="9" ht="14.25" customHeight="1">
      <c r="A9" s="7" t="s">
        <v>11</v>
      </c>
      <c r="B9" s="8">
        <v>1.0</v>
      </c>
      <c r="C9" s="6">
        <v>1600.0</v>
      </c>
      <c r="D9" s="6">
        <f t="shared" si="1"/>
        <v>1600</v>
      </c>
    </row>
    <row r="10" ht="14.25" customHeight="1">
      <c r="A10" s="7" t="s">
        <v>12</v>
      </c>
      <c r="B10" s="8">
        <v>1.0</v>
      </c>
      <c r="C10" s="6">
        <v>4300.0</v>
      </c>
      <c r="D10" s="6">
        <f t="shared" si="1"/>
        <v>4300</v>
      </c>
    </row>
    <row r="11" ht="14.25" customHeight="1">
      <c r="A11" s="7" t="s">
        <v>13</v>
      </c>
      <c r="B11" s="8">
        <v>1.0</v>
      </c>
      <c r="C11" s="6">
        <v>1560.0</v>
      </c>
      <c r="D11" s="6">
        <f t="shared" si="1"/>
        <v>1560</v>
      </c>
    </row>
    <row r="12" ht="14.25" customHeight="1">
      <c r="A12" s="7" t="s">
        <v>14</v>
      </c>
      <c r="B12" s="8">
        <v>1.0</v>
      </c>
      <c r="C12" s="6">
        <v>6070.0</v>
      </c>
      <c r="D12" s="6">
        <f t="shared" si="1"/>
        <v>6070</v>
      </c>
    </row>
    <row r="13" ht="14.25" customHeight="1">
      <c r="A13" s="7" t="s">
        <v>15</v>
      </c>
      <c r="B13" s="8">
        <v>1.0</v>
      </c>
      <c r="C13" s="6">
        <v>30000.0</v>
      </c>
      <c r="D13" s="6">
        <f t="shared" si="1"/>
        <v>30000</v>
      </c>
    </row>
    <row r="14" ht="14.25" customHeight="1">
      <c r="A14" s="7" t="s">
        <v>16</v>
      </c>
      <c r="B14" s="8">
        <v>1.0</v>
      </c>
      <c r="C14" s="6">
        <v>3650.0</v>
      </c>
      <c r="D14" s="6">
        <f t="shared" si="1"/>
        <v>3650</v>
      </c>
    </row>
    <row r="15" ht="14.25" customHeight="1">
      <c r="A15" s="7" t="s">
        <v>17</v>
      </c>
      <c r="B15" s="8">
        <v>2.0</v>
      </c>
      <c r="C15" s="6">
        <v>6250.0</v>
      </c>
      <c r="D15" s="6">
        <f t="shared" si="1"/>
        <v>12500</v>
      </c>
    </row>
    <row r="16" ht="14.25" customHeight="1">
      <c r="B16" s="8"/>
      <c r="C16" s="6"/>
      <c r="D16" s="6">
        <f>SUM('Tabla de inversión fija'!$D$3:$D$15)</f>
        <v>372980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6" width="10.63"/>
  </cols>
  <sheetData>
    <row r="1" ht="14.25" customHeight="1">
      <c r="A1" s="1" t="s">
        <v>18</v>
      </c>
    </row>
    <row r="2" ht="14.25" customHeight="1">
      <c r="A2" s="9" t="s">
        <v>19</v>
      </c>
      <c r="B2" s="9" t="s">
        <v>20</v>
      </c>
      <c r="C2" s="9" t="s">
        <v>4</v>
      </c>
    </row>
    <row r="3" ht="14.25" customHeight="1">
      <c r="A3" s="7" t="s">
        <v>21</v>
      </c>
      <c r="B3" s="8">
        <v>1.0</v>
      </c>
      <c r="C3" s="6">
        <v>5000.0</v>
      </c>
    </row>
    <row r="4" ht="14.25" customHeight="1">
      <c r="A4" s="3" t="s">
        <v>22</v>
      </c>
      <c r="B4" s="4">
        <v>1.0</v>
      </c>
      <c r="C4" s="5">
        <v>500.0</v>
      </c>
    </row>
    <row r="5" ht="14.25" customHeight="1">
      <c r="A5" s="7" t="s">
        <v>23</v>
      </c>
      <c r="B5" s="8">
        <v>1.0</v>
      </c>
      <c r="C5" s="6">
        <v>600.0</v>
      </c>
    </row>
    <row r="6" ht="14.25" customHeight="1">
      <c r="A6" s="7" t="s">
        <v>24</v>
      </c>
      <c r="B6" s="8">
        <v>1.0</v>
      </c>
      <c r="C6" s="5">
        <v>370.0</v>
      </c>
    </row>
    <row r="7" ht="14.25" customHeight="1">
      <c r="A7" s="7" t="s">
        <v>25</v>
      </c>
      <c r="B7" s="8">
        <v>1.0</v>
      </c>
      <c r="C7" s="6">
        <v>10000.0</v>
      </c>
    </row>
    <row r="8" ht="14.25" customHeight="1">
      <c r="A8" s="7" t="s">
        <v>26</v>
      </c>
      <c r="B8" s="4">
        <v>3.0</v>
      </c>
      <c r="C8" s="6">
        <v>9000.0</v>
      </c>
    </row>
    <row r="9" ht="14.25" customHeight="1">
      <c r="A9" s="7" t="s">
        <v>27</v>
      </c>
      <c r="B9" s="8">
        <v>1.0</v>
      </c>
      <c r="C9" s="6">
        <v>6000.0</v>
      </c>
    </row>
    <row r="10" ht="14.25" customHeight="1">
      <c r="A10" s="7" t="s">
        <v>28</v>
      </c>
      <c r="B10" s="8">
        <v>1.0</v>
      </c>
      <c r="C10" s="6">
        <v>3000.0</v>
      </c>
    </row>
    <row r="11" ht="14.25" customHeight="1">
      <c r="A11" s="3" t="s">
        <v>29</v>
      </c>
      <c r="B11" s="4">
        <v>1.0</v>
      </c>
      <c r="C11" s="5">
        <v>6800.0</v>
      </c>
    </row>
    <row r="12" ht="14.25" customHeight="1">
      <c r="A12" s="7" t="s">
        <v>30</v>
      </c>
      <c r="B12" s="8">
        <v>1.0</v>
      </c>
      <c r="C12" s="5">
        <v>30000.0</v>
      </c>
    </row>
    <row r="13" ht="14.25" customHeight="1">
      <c r="A13" s="3" t="s">
        <v>31</v>
      </c>
      <c r="B13" s="8"/>
      <c r="C13" s="6">
        <f>SUM(C3:C12)</f>
        <v>71270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2026-04-18T23:27:41Z</dcterms:created>
  <dc:creator>Juan Daniel Madero Escobedo</dc:creator>
</cp:coreProperties>
</file>